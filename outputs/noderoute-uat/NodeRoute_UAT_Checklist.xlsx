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1fcc04894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682384cb9484290"/>
    <x:sheet xmlns:r="http://schemas.openxmlformats.org/officeDocument/2006/relationships" name="Summary" sheetId="2" r:id="R8665d9c738de42ba"/>
    <x:sheet xmlns:r="http://schemas.openxmlformats.org/officeDocument/2006/relationships" name="Checklist" sheetId="3" r:id="R2a0c75b0d355422a"/>
    <x:sheet xmlns:r="http://schemas.openxmlformats.org/officeDocument/2006/relationships" name="Scorecard" sheetId="4" r:id="Rc488de7a54fb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0F172A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4C5C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374151"/>
      </x:font>
      <x:fill>
        <x:patternFill patternType="solid">
          <x:bgColor rgb="E5E7EB"/>
        </x:patternFill>
      </x:fill>
    </x:dxf>
    <x:dxf>
      <x:font>
        <x:b/>
        <x:color rgb="7F1D1D"/>
      </x:font>
      <x:fill>
        <x:patternFill patternType="solid">
          <x:bgColor rgb="FECACA"/>
        </x:patternFill>
      </x:fill>
    </x:dxf>
    <x:dxf>
      <x:font>
        <x:b/>
        <x:color rgb="78350F"/>
      </x:font>
      <x:fill>
        <x:patternFill patternType="solid">
          <x:bgColor rgb="FDE68A"/>
        </x:patternFill>
      </x:fill>
    </x:dxf>
    <x:dxf>
      <x:font>
        <x:b/>
        <x:color rgb="1E3A8A"/>
      </x:font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891275dda421e" /><Relationship Type="http://schemas.openxmlformats.org/officeDocument/2006/relationships/theme" Target="/xl/theme/theme1.xml" Id="Rbcc1c57663744716" /><Relationship Type="http://schemas.openxmlformats.org/officeDocument/2006/relationships/sharedStrings" Target="/xl/sharedStrings.xml" Id="R9b7a0e38ce76431c" /><Relationship Type="http://schemas.openxmlformats.org/officeDocument/2006/relationships/worksheet" Target="/xl/worksheets/sheet1.xml" Id="R4682384cb9484290" /><Relationship Type="http://schemas.openxmlformats.org/officeDocument/2006/relationships/worksheet" Target="/xl/worksheets/sheet2.xml" Id="R8665d9c738de42ba" /><Relationship Type="http://schemas.openxmlformats.org/officeDocument/2006/relationships/worksheet" Target="/xl/worksheets/sheet3.xml" Id="R2a0c75b0d355422a" /><Relationship Type="http://schemas.openxmlformats.org/officeDocument/2006/relationships/worksheet" Target="/xl/worksheets/sheet4.xml" Id="Rc488de7a54fb4f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82.7699966430664" hidden="0" customWidth="1"/>
    <x:col min="3" max="3" width="18.170000076293945" hidden="0" customWidth="1"/>
    <x:col min="4" max="4" width="18.170000076293945" hidden="0" customWidth="1"/>
    <x:col min="5" max="5" width="18.170000076293945" hidden="0" customWidth="1"/>
    <x:col min="6" max="6" width="18.170000076293945" hidden="0" customWidth="1"/>
  </x:cols>
  <x:sheetData>
    <x:row r="1">
      <x:c r="A1" s="18" t="str">
        <x:v>NodeRoute UAT Workbook</x:v>
      </x:c>
      <x:c r="B1" s="19"/>
      <x:c r="C1" s="19"/>
      <x:c r="D1" s="19"/>
      <x:c r="E1" s="19"/>
    </x:row>
    <x:row r="2">
      <x:c r="A2" s="19"/>
      <x:c r="B2" s="19"/>
      <x:c r="C2" s="19"/>
      <x:c r="D2" s="19"/>
      <x:c r="E2" s="19"/>
    </x:row>
    <x:row r="3">
      <x:c r="A3" s="20" t="str">
        <x:v>Purpose</x:v>
      </x:c>
      <x:c r="B3" s="21" t="str">
        <x:v>Use this workbook while testing the admin UI so you can record what works, what feels awkward, and what should be fixed.</x:v>
      </x:c>
      <x:c r="C3" s="19"/>
      <x:c r="D3" s="19"/>
      <x:c r="E3" s="19"/>
    </x:row>
    <x:row r="4">
      <x:c r="A4" s="20" t="str">
        <x:v>How to use</x:v>
      </x:c>
      <x:c r="B4" s="21" t="str">
        <x:v>Work through the Checklist tab row by row. Mark the result, severity, and notes for each item you test.</x:v>
      </x:c>
      <x:c r="C4" s="19"/>
      <x:c r="D4" s="19"/>
      <x:c r="E4" s="19"/>
    </x:row>
    <x:row r="5">
      <x:c r="A5" s="20" t="str">
        <x:v>Result values</x:v>
      </x:c>
      <x:c r="B5" s="21" t="str">
        <x:v>Use Pass, Fail, Blocked, or Not Tested in the Result column.</x:v>
      </x:c>
      <x:c r="C5" s="19"/>
      <x:c r="D5" s="19"/>
      <x:c r="E5" s="19"/>
    </x:row>
    <x:row r="6">
      <x:c r="A6" s="20" t="str">
        <x:v>Severity values</x:v>
      </x:c>
      <x:c r="B6" s="21" t="str">
        <x:v>Use Critical, Warning, Info, or leave blank when nothing needs follow-up.</x:v>
      </x:c>
      <x:c r="C6" s="19"/>
      <x:c r="D6" s="19"/>
      <x:c r="E6" s="19"/>
    </x:row>
    <x:row r="7">
      <x:c r="A7" s="20" t="str">
        <x:v>Scorecard</x:v>
      </x:c>
      <x:c r="B7" s="21" t="str">
        <x:v>After the checklist, rate the major workflow areas from 1 to 5 on the Scorecard tab.</x:v>
      </x:c>
      <x:c r="C7" s="19"/>
      <x:c r="D7" s="19"/>
      <x:c r="E7" s="19"/>
    </x:row>
    <x:row r="8">
      <x:c r="A8" s="20" t="str">
        <x:v>Upload back</x:v>
      </x:c>
      <x:c r="B8" s="21" t="str">
        <x:v>When you finish testing, send the completed workbook back so the results can be reviewed and turned into fixes.</x:v>
      </x:c>
      <x:c r="C8" s="19"/>
      <x:c r="D8" s="19"/>
      <x:c r="E8" s="19"/>
    </x:row>
    <x:row r="9">
      <x:c r="A9" s="19"/>
      <x:c r="B9" s="19"/>
      <x:c r="C9" s="19"/>
      <x:c r="D9" s="19"/>
      <x:c r="E9" s="19"/>
    </x:row>
    <x:row r="10">
      <x:c r="A10" s="22" t="str">
        <x:v>Suggested testing order</x:v>
      </x:c>
      <x:c r="B10" s="22" t="str"/>
      <x:c r="C10" s="22" t="str"/>
      <x:c r="D10" s="22" t="str"/>
      <x:c r="E10" s="22" t="str"/>
    </x:row>
    <x:row r="11">
      <x:c r="A11" s="21" t="str">
        <x:v>1</x:v>
      </x:c>
      <x:c r="B11" s="21" t="str">
        <x:v>Login</x:v>
      </x:c>
      <x:c r="C11" s="21" t="str">
        <x:v>Orders</x:v>
      </x:c>
      <x:c r="D11" s="21" t="str">
        <x:v>Weights + Invoices</x:v>
      </x:c>
      <x:c r="E11" s="21" t="str">
        <x:v>Inventory</x:v>
      </x:c>
    </x:row>
    <x:row r="12">
      <x:c r="A12" s="21" t="str">
        <x:v>2</x:v>
      </x:c>
      <x:c r="B12" s="21" t="str">
        <x:v>Customers</x:v>
      </x:c>
      <x:c r="C12" s="21" t="str">
        <x:v>Routes</x:v>
      </x:c>
      <x:c r="D12" s="21" t="str">
        <x:v>Full workflow sanity-check</x:v>
      </x:c>
      <x:c r="E12" s="21" t="str"/>
    </x:row>
    <x:row r="13">
      <x:c r="A13" s="21" t="str">
        <x:v>3</x:v>
      </x:c>
      <x:c r="B13" s="21" t="str">
        <x:v>Write down any hesitation points immediately while they are fresh</x:v>
      </x:c>
      <x:c r="C13" s="21" t="str"/>
      <x:c r="D13" s="21" t="str"/>
      <x:c r="E13" s="21" t="str"/>
    </x:row>
    <x:row r="14">
      <x:c r="A14" s="21" t="str">
        <x:v>4</x:v>
      </x:c>
      <x:c r="B14" s="21" t="str">
        <x:v>Finish the Scorecard tab before uploading the file back</x:v>
      </x:c>
      <x:c r="C14" s="21" t="str"/>
      <x:c r="D14" s="21" t="str"/>
      <x:c r="E14" s="21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30.280000686645508" hidden="0" customWidth="1"/>
    <x:col min="3" max="3" width="15.479999542236328" hidden="0" customWidth="1"/>
    <x:col min="4" max="4" width="22.209999084472656" hidden="0" customWidth="1"/>
    <x:col min="5" max="5" width="14.130000114440918" hidden="0" customWidth="1"/>
    <x:col min="6" max="6" width="12.789999961853027" hidden="0" customWidth="1"/>
    <x:col min="7" max="7" width="24.899999618530273" hidden="0" customWidth="1"/>
    <x:col min="8" max="8" width="14.130000114440918" hidden="0" customWidth="1"/>
  </x:cols>
  <x:sheetData>
    <x:row r="1">
      <x:c r="A1" s="18" t="str">
        <x:v>NodeRoute UAT Summary</x:v>
      </x:c>
      <x:c r="B1" s="19"/>
      <x:c r="C1" s="19"/>
      <x:c r="D1" s="19"/>
      <x:c r="E1" s="19"/>
      <x:c r="F1" s="19"/>
      <x:c r="G1" s="19"/>
      <x:c r="H1" s="19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23" t="str">
        <x:v>Tester Name</x:v>
      </x:c>
      <x:c r="B3" s="21" t="str"/>
      <x:c r="C3" s="21"/>
      <x:c r="D3" s="22" t="str">
        <x:v>Checklist KPI</x:v>
      </x:c>
      <x:c r="E3" s="22" t="str">
        <x:v>Value</x:v>
      </x:c>
      <x:c r="F3" s="21"/>
      <x:c r="G3" s="22" t="str">
        <x:v>Scorecard Summary</x:v>
      </x:c>
      <x:c r="H3" s="22" t="str">
        <x:v>Score</x:v>
      </x:c>
    </x:row>
    <x:row r="4">
      <x:c r="A4" s="23" t="str">
        <x:v>Test Date</x:v>
      </x:c>
      <x:c r="B4" s="24" t="n">
        <x:v>46149.85731726852</x:v>
      </x:c>
      <x:c r="C4" s="21"/>
      <x:c r="D4" s="21" t="str">
        <x:v>Passed</x:v>
      </x:c>
      <x:c r="E4" s="21" t="n">
        <x:f>COUNTIF(Checklist!F2:F200,"Pass")</x:f>
        <x:v>0</x:v>
      </x:c>
      <x:c r="F4" s="21"/>
      <x:c r="G4" s="21" t="str">
        <x:v>Login clarity</x:v>
      </x:c>
      <x:c r="H4" s="21" t="str">
        <x:f>IF(Scorecard!B2="","",Scorecard!B2)</x:f>
      </x:c>
    </x:row>
    <x:row r="5">
      <x:c r="A5" s="23" t="str">
        <x:v>Environment</x:v>
      </x:c>
      <x:c r="B5" s="21" t="str">
        <x:v>Localhost / admin UI</x:v>
      </x:c>
      <x:c r="C5" s="21"/>
      <x:c r="D5" s="21" t="str">
        <x:v>Failed</x:v>
      </x:c>
      <x:c r="E5" s="21" t="n">
        <x:f>COUNTIF(Checklist!F2:F200,"Fail")</x:f>
        <x:v>0</x:v>
      </x:c>
      <x:c r="F5" s="21"/>
      <x:c r="G5" s="21" t="str">
        <x:v>Order entry speed</x:v>
      </x:c>
      <x:c r="H5" s="21" t="str">
        <x:f>IF(Scorecard!B3="","",Scorecard!B3)</x:f>
      </x:c>
    </x:row>
    <x:row r="6">
      <x:c r="A6" s="23" t="str">
        <x:v>App URL</x:v>
      </x:c>
      <x:c r="B6" s="21" t="str">
        <x:v>http://localhost:3001/login</x:v>
      </x:c>
      <x:c r="C6" s="21"/>
      <x:c r="D6" s="21" t="str">
        <x:v>Blocked</x:v>
      </x:c>
      <x:c r="E6" s="21" t="n">
        <x:f>COUNTIF(Checklist!F2:F200,"Blocked")</x:f>
        <x:v>0</x:v>
      </x:c>
      <x:c r="F6" s="21"/>
      <x:c r="G6" s="21" t="str">
        <x:v>Out-of-stock handling</x:v>
      </x:c>
      <x:c r="H6" s="21" t="str">
        <x:f>IF(Scorecard!B4="","",Scorecard!B4)</x:f>
      </x:c>
    </x:row>
    <x:row r="7">
      <x:c r="A7" s="23" t="str">
        <x:v>Overall recommendation</x:v>
      </x:c>
      <x:c r="B7" s="21" t="str"/>
      <x:c r="C7" s="21"/>
      <x:c r="D7" s="21" t="str">
        <x:v>Not Tested</x:v>
      </x:c>
      <x:c r="E7" s="21" t="n">
        <x:f>COUNTIF(Checklist!F2:F200,"Not Tested")</x:f>
        <x:v>0</x:v>
      </x:c>
      <x:c r="F7" s="21"/>
      <x:c r="G7" s="21" t="str">
        <x:v>Weight entry ease</x:v>
      </x:c>
      <x:c r="H7" s="21" t="str">
        <x:f>IF(Scorecard!B5="","",Scorecard!B5)</x:f>
      </x:c>
    </x:row>
    <x:row r="8">
      <x:c r="A8" s="21"/>
      <x:c r="B8" s="21"/>
      <x:c r="C8" s="21"/>
      <x:c r="D8" s="21"/>
      <x:c r="E8" s="21"/>
      <x:c r="F8" s="21"/>
      <x:c r="G8" s="21" t="str">
        <x:v>Invoice workflow</x:v>
      </x:c>
      <x:c r="H8" s="21" t="str">
        <x:f>IF(Scorecard!B6="","",Scorecard!B6)</x:f>
      </x:c>
    </x:row>
    <x:row r="9">
      <x:c r="A9" s="21"/>
      <x:c r="B9" s="21"/>
      <x:c r="C9" s="21"/>
      <x:c r="D9" s="21"/>
      <x:c r="E9" s="21"/>
      <x:c r="F9" s="21"/>
      <x:c r="G9" s="21" t="str">
        <x:v>Inventory workflow</x:v>
      </x:c>
      <x:c r="H9" s="21" t="str">
        <x:f>IF(Scorecard!B7="","",Scorecard!B7)</x:f>
      </x:c>
    </x:row>
    <x:row r="10">
      <x:c r="A10" s="22" t="str">
        <x:v>Top issues to fix first</x:v>
      </x:c>
      <x:c r="B10" s="22" t="str"/>
      <x:c r="C10" s="22" t="str"/>
      <x:c r="D10" s="22" t="str"/>
      <x:c r="E10" s="22" t="str"/>
      <x:c r="F10" s="22" t="str"/>
      <x:c r="G10" s="22" t="str"/>
      <x:c r="H10" s="22" t="str"/>
    </x:row>
    <x:row r="11">
      <x:c r="A11" s="21" t="str">
        <x:v>Issue 1</x:v>
      </x:c>
      <x:c r="B11" s="21" t="str"/>
      <x:c r="C11" s="21" t="str"/>
      <x:c r="D11" s="21" t="str"/>
      <x:c r="E11" s="21" t="str"/>
      <x:c r="F11" s="21" t="str"/>
      <x:c r="G11" s="21" t="str"/>
      <x:c r="H11" s="21" t="str"/>
    </x:row>
    <x:row r="12">
      <x:c r="A12" s="21" t="str">
        <x:v>Issue 2</x:v>
      </x:c>
      <x:c r="B12" s="21" t="str"/>
      <x:c r="C12" s="21" t="str"/>
      <x:c r="D12" s="21" t="str"/>
      <x:c r="E12" s="21" t="str"/>
      <x:c r="F12" s="21" t="str"/>
      <x:c r="G12" s="21" t="str"/>
      <x:c r="H12" s="21" t="str"/>
    </x:row>
    <x:row r="13">
      <x:c r="A13" s="21" t="str">
        <x:v>Issue 3</x:v>
      </x:c>
      <x:c r="B13" s="21" t="str"/>
      <x:c r="C13" s="21" t="str"/>
      <x:c r="D13" s="21" t="str"/>
      <x:c r="E13" s="21" t="str"/>
      <x:c r="F13" s="21" t="str"/>
      <x:c r="G13" s="21" t="str"/>
      <x:c r="H13" s="21" t="str"/>
    </x:row>
    <x:row r="14">
      <x:c r="A14" s="21" t="str">
        <x:v>Best parts of the workflow</x:v>
      </x:c>
      <x:c r="B14" s="21" t="str"/>
      <x:c r="C14" s="21" t="str"/>
      <x:c r="D14" s="21" t="str"/>
      <x:c r="E14" s="21" t="str"/>
      <x:c r="F14" s="21" t="str"/>
      <x:c r="G14" s="21" t="str"/>
      <x:c r="H14" s="21" t="str"/>
    </x:row>
    <x:row r="15">
      <x:c r="A15" s="21" t="str">
        <x:v>Notes</x:v>
      </x:c>
      <x:c r="B15" s="21" t="str"/>
      <x:c r="C15" s="21" t="str"/>
      <x:c r="D15" s="21" t="str"/>
      <x:c r="E15" s="21" t="str"/>
      <x:c r="F15" s="21" t="str"/>
      <x:c r="G15" s="21" t="str"/>
      <x:c r="H15" s="21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5.479999542236328" hidden="0" customWidth="1"/>
    <x:col min="3" max="3" width="28.940000534057617" hidden="0" customWidth="1"/>
    <x:col min="4" max="4" width="39.70000076293945" hidden="0" customWidth="1"/>
    <x:col min="5" max="5" width="39.70000076293945" hidden="0" customWidth="1"/>
    <x:col min="6" max="6" width="14.130000114440918" hidden="0" customWidth="1"/>
    <x:col min="7" max="7" width="14.130000114440918" hidden="0" customWidth="1"/>
    <x:col min="8" max="8" width="37.0099983215332" hidden="0" customWidth="1"/>
  </x:cols>
  <x:sheetData>
    <x:row r="1">
      <x:c r="A1" s="25" t="str">
        <x:v>ID</x:v>
      </x:c>
      <x:c r="B1" s="25" t="str">
        <x:v>Area</x:v>
      </x:c>
      <x:c r="C1" s="25" t="str">
        <x:v>Step</x:v>
      </x:c>
      <x:c r="D1" s="25" t="str">
        <x:v>What To Do</x:v>
      </x:c>
      <x:c r="E1" s="25" t="str">
        <x:v>Pass If</x:v>
      </x:c>
      <x:c r="F1" s="25" t="str">
        <x:v>Result</x:v>
      </x:c>
      <x:c r="G1" s="25" t="str">
        <x:v>Severity</x:v>
      </x:c>
      <x:c r="H1" s="25" t="str">
        <x:v>Notes</x:v>
      </x:c>
    </x:row>
    <x:row r="2">
      <x:c r="A2" s="21" t="str">
        <x:v>LG-01</x:v>
      </x:c>
      <x:c r="B2" s="21" t="str">
        <x:v>Login</x:v>
      </x:c>
      <x:c r="C2" s="21" t="str">
        <x:v>Open the login page</x:v>
      </x:c>
      <x:c r="D2" s="21" t="str">
        <x:v>Go to http://localhost:3001/login.</x:v>
      </x:c>
      <x:c r="E2" s="21" t="str">
        <x:v>The login page loads quickly and without layout issues.</x:v>
      </x:c>
      <x:c r="F2" s="26" t="str"/>
      <x:c r="G2" s="26" t="str"/>
      <x:c r="H2" s="21" t="str"/>
    </x:row>
    <x:row r="3">
      <x:c r="A3" s="21" t="str">
        <x:v>LG-02</x:v>
      </x:c>
      <x:c r="B3" s="21" t="str">
        <x:v>Login</x:v>
      </x:c>
      <x:c r="C3" s="21" t="str">
        <x:v>Sign in with test credentials</x:v>
      </x:c>
      <x:c r="D3" s="21" t="str">
        <x:v>Use the provided Playwright admin test login.</x:v>
      </x:c>
      <x:c r="E3" s="21" t="str">
        <x:v>You land in the dashboard without errors or confusing redirects.</x:v>
      </x:c>
      <x:c r="F3" s="26" t="str"/>
      <x:c r="G3" s="26" t="str"/>
      <x:c r="H3" s="21" t="str"/>
    </x:row>
    <x:row r="4">
      <x:c r="A4" s="21" t="str">
        <x:v>LG-03</x:v>
      </x:c>
      <x:c r="B4" s="21" t="str">
        <x:v>Login</x:v>
      </x:c>
      <x:c r="C4" s="21" t="str">
        <x:v>Confirm first screen makes sense</x:v>
      </x:c>
      <x:c r="D4" s="21" t="str">
        <x:v>Look at the dashboard, sidebar, and top header.</x:v>
      </x:c>
      <x:c r="E4" s="21" t="str">
        <x:v>You immediately understand where to begin the workday.</x:v>
      </x:c>
      <x:c r="F4" s="26" t="str"/>
      <x:c r="G4" s="26" t="str"/>
      <x:c r="H4" s="21" t="str"/>
    </x:row>
    <x:row r="5">
      <x:c r="A5" s="21" t="str">
        <x:v>OR-01</x:v>
      </x:c>
      <x:c r="B5" s="21" t="str">
        <x:v>Orders</x:v>
      </x:c>
      <x:c r="C5" s="21" t="str">
        <x:v>Open Orders workspace</x:v>
      </x:c>
      <x:c r="D5" s="21" t="str">
        <x:v>Navigate to Orders from the sidebar.</x:v>
      </x:c>
      <x:c r="E5" s="21" t="str">
        <x:v>The screen loads without errors and feels like the right starting point for order entry.</x:v>
      </x:c>
      <x:c r="F5" s="26" t="str"/>
      <x:c r="G5" s="26" t="str"/>
      <x:c r="H5" s="21" t="str"/>
    </x:row>
    <x:row r="6">
      <x:c r="A6" s="21" t="str">
        <x:v>OR-02</x:v>
      </x:c>
      <x:c r="B6" s="21" t="str">
        <x:v>Orders</x:v>
      </x:c>
      <x:c r="C6" s="21" t="str">
        <x:v>Create a new order</x:v>
      </x:c>
      <x:c r="D6" s="21" t="str">
        <x:v>Select a customer, add address details, and fill out notes.</x:v>
      </x:c>
      <x:c r="E6" s="21" t="str">
        <x:v>The form is understandable and does not feel cluttered.</x:v>
      </x:c>
      <x:c r="F6" s="26" t="str"/>
      <x:c r="G6" s="26" t="str"/>
      <x:c r="H6" s="21" t="str"/>
    </x:row>
    <x:row r="7">
      <x:c r="A7" s="21" t="str">
        <x:v>OR-03</x:v>
      </x:c>
      <x:c r="B7" s="21" t="str">
        <x:v>Orders</x:v>
      </x:c>
      <x:c r="C7" s="21" t="str">
        <x:v>Add an out-of-stock item</x:v>
      </x:c>
      <x:c r="D7" s="21" t="str">
        <x:v>Choose an item that currently has zero or negative stock.</x:v>
      </x:c>
      <x:c r="E7" s="21" t="str">
        <x:v>The item can still be added to the order.</x:v>
      </x:c>
      <x:c r="F7" s="26" t="str"/>
      <x:c r="G7" s="26" t="str"/>
      <x:c r="H7" s="21" t="str"/>
    </x:row>
    <x:row r="8">
      <x:c r="A8" s="21" t="str">
        <x:v>OR-04</x:v>
      </x:c>
      <x:c r="B8" s="21" t="str">
        <x:v>Orders</x:v>
      </x:c>
      <x:c r="C8" s="21" t="str">
        <x:v>Check product selection behavior</x:v>
      </x:c>
      <x:c r="D8" s="21" t="str">
        <x:v>Click different products in the combobox and try searching.</x:v>
      </x:c>
      <x:c r="E8" s="21" t="str">
        <x:v>Selecting an item never sends you to a Something went wrong screen.</x:v>
      </x:c>
      <x:c r="F8" s="26" t="str"/>
      <x:c r="G8" s="26" t="str"/>
      <x:c r="H8" s="21" t="str"/>
    </x:row>
    <x:row r="9">
      <x:c r="A9" s="21" t="str">
        <x:v>OR-05</x:v>
      </x:c>
      <x:c r="B9" s="21" t="str">
        <x:v>Orders</x:v>
      </x:c>
      <x:c r="C9" s="21" t="str">
        <x:v>Create a pending order</x:v>
      </x:c>
      <x:c r="D9" s="21" t="str">
        <x:v>Submit one order with Create Order only.</x:v>
      </x:c>
      <x:c r="E9" s="21" t="str">
        <x:v>The order saves and appears as pending.</x:v>
      </x:c>
      <x:c r="F9" s="26" t="str"/>
      <x:c r="G9" s="26" t="str"/>
      <x:c r="H9" s="21" t="str"/>
    </x:row>
    <x:row r="10">
      <x:c r="A10" s="21" t="str">
        <x:v>OR-06</x:v>
      </x:c>
      <x:c r="B10" s="21" t="str">
        <x:v>Orders</x:v>
      </x:c>
      <x:c r="C10" s="21" t="str">
        <x:v>Create and send an order</x:v>
      </x:c>
      <x:c r="D10" s="21" t="str">
        <x:v>Submit one order with Create + Send.</x:v>
      </x:c>
      <x:c r="E10" s="21" t="str">
        <x:v>The order is sent to processing and the print popup opens.</x:v>
      </x:c>
      <x:c r="F10" s="26" t="str"/>
      <x:c r="G10" s="26" t="str"/>
      <x:c r="H10" s="21" t="str"/>
    </x:row>
    <x:row r="11">
      <x:c r="A11" s="21" t="str">
        <x:v>WT-01</x:v>
      </x:c>
      <x:c r="B11" s="21" t="str">
        <x:v>Weights</x:v>
      </x:c>
      <x:c r="C11" s="21" t="str">
        <x:v>Open weight entry queue</x:v>
      </x:c>
      <x:c r="D11" s="21" t="str">
        <x:v>From Dashboard, open Orders Needing Weights.</x:v>
      </x:c>
      <x:c r="E11" s="21" t="str">
        <x:v>The queue is easy to find and understand.</x:v>
      </x:c>
      <x:c r="F11" s="26" t="str"/>
      <x:c r="G11" s="26" t="str"/>
      <x:c r="H11" s="21" t="str"/>
    </x:row>
    <x:row r="12">
      <x:c r="A12" s="21" t="str">
        <x:v>WT-02</x:v>
      </x:c>
      <x:c r="B12" s="21" t="str">
        <x:v>Weights</x:v>
      </x:c>
      <x:c r="C12" s="21" t="str">
        <x:v>Enter actual weights</x:v>
      </x:c>
      <x:c r="D12" s="21" t="str">
        <x:v>Type weights for the order line items.</x:v>
      </x:c>
      <x:c r="E12" s="21" t="str">
        <x:v>Weight fields are easy to use and save successfully.</x:v>
      </x:c>
      <x:c r="F12" s="26" t="str"/>
      <x:c r="G12" s="26" t="str"/>
      <x:c r="H12" s="21" t="str"/>
    </x:row>
    <x:row r="13">
      <x:c r="A13" s="21" t="str">
        <x:v>WT-03</x:v>
      </x:c>
      <x:c r="B13" s="21" t="str">
        <x:v>Weights</x:v>
      </x:c>
      <x:c r="C13" s="21" t="str">
        <x:v>Print from weight queue</x:v>
      </x:c>
      <x:c r="D13" s="21" t="str">
        <x:v>Use Print Invoice after saving weights.</x:v>
      </x:c>
      <x:c r="E13" s="21" t="str">
        <x:v>The print view opens cleanly even without a physical printer.</x:v>
      </x:c>
      <x:c r="F13" s="26" t="str"/>
      <x:c r="G13" s="26" t="str"/>
      <x:c r="H13" s="21" t="str"/>
    </x:row>
    <x:row r="14">
      <x:c r="A14" s="21" t="str">
        <x:v>IV-01</x:v>
      </x:c>
      <x:c r="B14" s="21" t="str">
        <x:v>Invoices</x:v>
      </x:c>
      <x:c r="C14" s="21" t="str">
        <x:v>Open Invoices workspace</x:v>
      </x:c>
      <x:c r="D14" s="21" t="str">
        <x:v>Navigate to Invoices from the sidebar.</x:v>
      </x:c>
      <x:c r="E14" s="21" t="str">
        <x:v>The screen loads without errors.</x:v>
      </x:c>
      <x:c r="F14" s="26" t="str"/>
      <x:c r="G14" s="26" t="str"/>
      <x:c r="H14" s="21" t="str"/>
    </x:row>
    <x:row r="15">
      <x:c r="A15" s="21" t="str">
        <x:v>IV-02</x:v>
      </x:c>
      <x:c r="B15" s="21" t="str">
        <x:v>Invoices</x:v>
      </x:c>
      <x:c r="C15" s="21" t="str">
        <x:v>Find generated invoice</x:v>
      </x:c>
      <x:c r="D15" s="21" t="str">
        <x:v>Search by customer or invoice info.</x:v>
      </x:c>
      <x:c r="E15" s="21" t="str">
        <x:v>The new invoice is easy to locate.</x:v>
      </x:c>
      <x:c r="F15" s="26" t="str"/>
      <x:c r="G15" s="26" t="str"/>
      <x:c r="H15" s="21" t="str"/>
    </x:row>
    <x:row r="16">
      <x:c r="A16" s="21" t="str">
        <x:v>IV-03</x:v>
      </x:c>
      <x:c r="B16" s="21" t="str">
        <x:v>Invoices</x:v>
      </x:c>
      <x:c r="C16" s="21" t="str">
        <x:v>Check invoice readability</x:v>
      </x:c>
      <x:c r="D16" s="21" t="str">
        <x:v>Open or preview the printed invoice output.</x:v>
      </x:c>
      <x:c r="E16" s="21" t="str">
        <x:v>The invoice looks usable and contains the expected details.</x:v>
      </x:c>
      <x:c r="F16" s="26" t="str"/>
      <x:c r="G16" s="26" t="str"/>
      <x:c r="H16" s="21" t="str"/>
    </x:row>
    <x:row r="17">
      <x:c r="A17" s="21" t="str">
        <x:v>IN-01</x:v>
      </x:c>
      <x:c r="B17" s="21" t="str">
        <x:v>Inventory</x:v>
      </x:c>
      <x:c r="C17" s="21" t="str">
        <x:v>Open Inventory workspace</x:v>
      </x:c>
      <x:c r="D17" s="21" t="str">
        <x:v>Navigate to Inventory from the sidebar.</x:v>
      </x:c>
      <x:c r="E17" s="21" t="str">
        <x:v>The page loads cleanly and key actions are visible.</x:v>
      </x:c>
      <x:c r="F17" s="26" t="str"/>
      <x:c r="G17" s="26" t="str"/>
      <x:c r="H17" s="21" t="str"/>
    </x:row>
    <x:row r="18">
      <x:c r="A18" s="21" t="str">
        <x:v>IN-02</x:v>
      </x:c>
      <x:c r="B18" s="21" t="str">
        <x:v>Inventory</x:v>
      </x:c>
      <x:c r="C18" s="21" t="str">
        <x:v>Print count sheet</x:v>
      </x:c>
      <x:c r="D18" s="21" t="str">
        <x:v>Click Print Count Sheet.</x:v>
      </x:c>
      <x:c r="E18" s="21" t="str">
        <x:v>A printable count sheet opens without popup errors.</x:v>
      </x:c>
      <x:c r="F18" s="26" t="str"/>
      <x:c r="G18" s="26" t="str"/>
      <x:c r="H18" s="21" t="str"/>
    </x:row>
    <x:row r="19">
      <x:c r="A19" s="21" t="str">
        <x:v>IN-03</x:v>
      </x:c>
      <x:c r="B19" s="21" t="str">
        <x:v>Inventory</x:v>
      </x:c>
      <x:c r="C19" s="21" t="str">
        <x:v>Restock inventory</x:v>
      </x:c>
      <x:c r="D19" s="21" t="str">
        <x:v>Use Restock Item on a valid inventory item.</x:v>
      </x:c>
      <x:c r="E19" s="21" t="str">
        <x:v>The success message is clear and the action feels safe.</x:v>
      </x:c>
      <x:c r="F19" s="26" t="str"/>
      <x:c r="G19" s="26" t="str"/>
      <x:c r="H19" s="21" t="str"/>
    </x:row>
    <x:row r="20">
      <x:c r="A20" s="21" t="str">
        <x:v>IN-04</x:v>
      </x:c>
      <x:c r="B20" s="21" t="str">
        <x:v>Inventory</x:v>
      </x:c>
      <x:c r="C20" s="21" t="str">
        <x:v>Apply adjustment</x:v>
      </x:c>
      <x:c r="D20" s="21" t="str">
        <x:v>Use Apply Adjustment with a positive or negative delta.</x:v>
      </x:c>
      <x:c r="E20" s="21" t="str">
        <x:v>The adjustment works and the wording makes sense.</x:v>
      </x:c>
      <x:c r="F20" s="26" t="str"/>
      <x:c r="G20" s="26" t="str"/>
      <x:c r="H20" s="21" t="str"/>
    </x:row>
    <x:row r="21">
      <x:c r="A21" s="21" t="str">
        <x:v>IN-05</x:v>
      </x:c>
      <x:c r="B21" s="21" t="str">
        <x:v>Inventory</x:v>
      </x:c>
      <x:c r="C21" s="21" t="str">
        <x:v>Transfer stock</x:v>
      </x:c>
      <x:c r="D21" s="21" t="str">
        <x:v>Move stock from one SKU to another.</x:v>
      </x:c>
      <x:c r="E21" s="21" t="str">
        <x:v>The transfer succeeds and the flow is easy to understand.</x:v>
      </x:c>
      <x:c r="F21" s="26" t="str"/>
      <x:c r="G21" s="26" t="str"/>
      <x:c r="H21" s="21" t="str"/>
    </x:row>
    <x:row r="22">
      <x:c r="A22" s="21" t="str">
        <x:v>IN-06</x:v>
      </x:c>
      <x:c r="B22" s="21" t="str">
        <x:v>Inventory</x:v>
      </x:c>
      <x:c r="C22" s="21" t="str">
        <x:v>Record spoilage</x:v>
      </x:c>
      <x:c r="D22" s="21" t="str">
        <x:v>Submit a spoilage entry with reason and notes.</x:v>
      </x:c>
      <x:c r="E22" s="21" t="str">
        <x:v>Spoilage is easy to post and clearly labeled.</x:v>
      </x:c>
      <x:c r="F22" s="26" t="str"/>
      <x:c r="G22" s="26" t="str"/>
      <x:c r="H22" s="21" t="str"/>
    </x:row>
    <x:row r="23">
      <x:c r="A23" s="21" t="str">
        <x:v>CU-01</x:v>
      </x:c>
      <x:c r="B23" s="21" t="str">
        <x:v>Customers</x:v>
      </x:c>
      <x:c r="C23" s="21" t="str">
        <x:v>Open Customers workspace</x:v>
      </x:c>
      <x:c r="D23" s="21" t="str">
        <x:v>Navigate to Customers from the sidebar.</x:v>
      </x:c>
      <x:c r="E23" s="21" t="str">
        <x:v>The page loads quickly and feels organized.</x:v>
      </x:c>
      <x:c r="F23" s="26" t="str"/>
      <x:c r="G23" s="26" t="str"/>
      <x:c r="H23" s="21" t="str"/>
    </x:row>
    <x:row r="24">
      <x:c r="A24" s="21" t="str">
        <x:v>CU-02</x:v>
      </x:c>
      <x:c r="B24" s="21" t="str">
        <x:v>Customers</x:v>
      </x:c>
      <x:c r="C24" s="21" t="str">
        <x:v>Add a customer</x:v>
      </x:c>
      <x:c r="D24" s="21" t="str">
        <x:v>Create a new customer record.</x:v>
      </x:c>
      <x:c r="E24" s="21" t="str">
        <x:v>The add-customer flow is straightforward.</x:v>
      </x:c>
      <x:c r="F24" s="26" t="str"/>
      <x:c r="G24" s="26" t="str"/>
      <x:c r="H24" s="21" t="str"/>
    </x:row>
    <x:row r="25">
      <x:c r="A25" s="21" t="str">
        <x:v>CU-03</x:v>
      </x:c>
      <x:c r="B25" s="21" t="str">
        <x:v>Customers</x:v>
      </x:c>
      <x:c r="C25" s="21" t="str">
        <x:v>Search and edit a customer</x:v>
      </x:c>
      <x:c r="D25" s="21" t="str">
        <x:v>Find the new customer and open View / Edit.</x:v>
      </x:c>
      <x:c r="E25" s="21" t="str">
        <x:v>Customer data is easy to review and update.</x:v>
      </x:c>
      <x:c r="F25" s="26" t="str"/>
      <x:c r="G25" s="26" t="str"/>
      <x:c r="H25" s="21" t="str"/>
    </x:row>
    <x:row r="26">
      <x:c r="A26" s="21" t="str">
        <x:v>RT-01</x:v>
      </x:c>
      <x:c r="B26" s="21" t="str">
        <x:v>Routes</x:v>
      </x:c>
      <x:c r="C26" s="21" t="str">
        <x:v>Open Routes workspace</x:v>
      </x:c>
      <x:c r="D26" s="21" t="str">
        <x:v>Navigate to Routes from the sidebar.</x:v>
      </x:c>
      <x:c r="E26" s="21" t="str">
        <x:v>The route dashboard loads without errors.</x:v>
      </x:c>
      <x:c r="F26" s="26" t="str"/>
      <x:c r="G26" s="26" t="str"/>
      <x:c r="H26" s="21" t="str"/>
    </x:row>
    <x:row r="27">
      <x:c r="A27" s="21" t="str">
        <x:v>RT-02</x:v>
      </x:c>
      <x:c r="B27" s="21" t="str">
        <x:v>Routes</x:v>
      </x:c>
      <x:c r="C27" s="21" t="str">
        <x:v>Create a route</x:v>
      </x:c>
      <x:c r="D27" s="21" t="str">
        <x:v>Add route name, driver, and notes.</x:v>
      </x:c>
      <x:c r="E27" s="21" t="str">
        <x:v>Creating a route is quick and obvious.</x:v>
      </x:c>
      <x:c r="F27" s="26" t="str"/>
      <x:c r="G27" s="26" t="str"/>
      <x:c r="H27" s="21" t="str"/>
    </x:row>
    <x:row r="28">
      <x:c r="A28" s="21" t="str">
        <x:v>RT-03</x:v>
      </x:c>
      <x:c r="B28" s="21" t="str">
        <x:v>Routes</x:v>
      </x:c>
      <x:c r="C28" s="21" t="str">
        <x:v>Edit route details</x:v>
      </x:c>
      <x:c r="D28" s="21" t="str">
        <x:v>Modify the route information after creation.</x:v>
      </x:c>
      <x:c r="E28" s="21" t="str">
        <x:v>Saving route updates feels reliable.</x:v>
      </x:c>
      <x:c r="F28" s="26" t="str"/>
      <x:c r="G28" s="26" t="str"/>
      <x:c r="H28" s="21" t="str"/>
    </x:row>
    <x:row r="29">
      <x:c r="A29" s="21" t="str">
        <x:v>RT-04</x:v>
      </x:c>
      <x:c r="B29" s="21" t="str">
        <x:v>Routes</x:v>
      </x:c>
      <x:c r="C29" s="21" t="str">
        <x:v>Add stop by customer</x:v>
      </x:c>
      <x:c r="D29" s="21" t="str">
        <x:v>Search for a customer and add them to the route.</x:v>
      </x:c>
      <x:c r="E29" s="21" t="str">
        <x:v>The stop add flow is easy to follow.</x:v>
      </x:c>
      <x:c r="F29" s="26" t="str"/>
      <x:c r="G29" s="26" t="str"/>
      <x:c r="H29" s="21" t="str"/>
    </x:row>
    <x:row r="30">
      <x:c r="A30" s="21" t="str">
        <x:v>RT-05</x:v>
      </x:c>
      <x:c r="B30" s="21" t="str">
        <x:v>Routes</x:v>
      </x:c>
      <x:c r="C30" s="21" t="str">
        <x:v>Add stop from pending orders</x:v>
      </x:c>
      <x:c r="D30" s="21" t="str">
        <x:v>Use the batch add from pending orders section.</x:v>
      </x:c>
      <x:c r="E30" s="21" t="str">
        <x:v>Pending-order stop add works and makes operational sense.</x:v>
      </x:c>
      <x:c r="F30" s="26" t="str"/>
      <x:c r="G30" s="26" t="str"/>
      <x:c r="H30" s="21" t="str"/>
    </x:row>
    <x:row r="31">
      <x:c r="A31" s="21" t="str">
        <x:v>RT-06</x:v>
      </x:c>
      <x:c r="B31" s="21" t="str">
        <x:v>Routes</x:v>
      </x:c>
      <x:c r="C31" s="21" t="str">
        <x:v>Close and reopen route editor</x:v>
      </x:c>
      <x:c r="D31" s="21" t="str">
        <x:v>Close the editor, then reopen the route.</x:v>
      </x:c>
      <x:c r="E31" s="21" t="str">
        <x:v>The route still shows the expected stops and details.</x:v>
      </x:c>
      <x:c r="F31" s="26" t="str"/>
      <x:c r="G31" s="26" t="str"/>
      <x:c r="H31" s="21" t="str"/>
    </x:row>
    <x:row r="32">
      <x:c r="A32" s="21" t="str">
        <x:v>WF-01</x:v>
      </x:c>
      <x:c r="B32" s="21" t="str">
        <x:v>Workflow</x:v>
      </x:c>
      <x:c r="C32" s="21" t="str">
        <x:v>Walk through a real day</x:v>
      </x:c>
      <x:c r="D32" s="21" t="str">
        <x:v>Think through order intake, weights, invoice, inventory, and route prep.</x:v>
      </x:c>
      <x:c r="E32" s="21" t="str">
        <x:v>The overall sequence feels natural for actual staff use.</x:v>
      </x:c>
      <x:c r="F32" s="26" t="str"/>
      <x:c r="G32" s="26" t="str"/>
      <x:c r="H32" s="21" t="str"/>
    </x:row>
    <x:row r="33">
      <x:c r="A33" s="21" t="str">
        <x:v>WF-02</x:v>
      </x:c>
      <x:c r="B33" s="21" t="str">
        <x:v>Workflow</x:v>
      </x:c>
      <x:c r="C33" s="21" t="str">
        <x:v>Identify hesitation points</x:v>
      </x:c>
      <x:c r="D33" s="21" t="str">
        <x:v>Write down any step where you paused or felt uncertain.</x:v>
      </x:c>
      <x:c r="E33" s="21" t="str">
        <x:v>Pain points are clear enough to describe and prioritize.</x:v>
      </x:c>
      <x:c r="F33" s="26" t="str"/>
      <x:c r="G33" s="26" t="str"/>
      <x:c r="H33" s="21" t="str"/>
    </x:row>
  </x:sheetData>
  <x:conditionalFormatting sqref="F2:F20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Tested"/>
  </x:conditionalFormatting>
  <x:conditionalFormatting sqref="G2:G200">
    <x:cfRule type="containsText" dxfId="4" priority="5" operator="containsText" text="Critical"/>
    <x:cfRule type="containsText" dxfId="5" priority="6" operator="containsText" text="Warning"/>
    <x:cfRule type="containsText" dxfId="6" priority="7" operator="containsText" text="Info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15.479999542236328" hidden="0" customWidth="1"/>
    <x:col min="3" max="3" width="55.849998474121094" hidden="0" customWidth="1"/>
  </x:cols>
  <x:sheetData>
    <x:row r="1">
      <x:c r="A1" s="27" t="str">
        <x:v>Category</x:v>
      </x:c>
      <x:c r="B1" s="27" t="str">
        <x:v>Score (1-5)</x:v>
      </x:c>
      <x:c r="C1" s="27" t="str">
        <x:v>Notes</x:v>
      </x:c>
    </x:row>
    <x:row r="2">
      <x:c r="A2" s="21" t="str">
        <x:v>Login clarity</x:v>
      </x:c>
      <x:c r="B2" s="21" t="str"/>
      <x:c r="C2" s="21" t="str"/>
    </x:row>
    <x:row r="3">
      <x:c r="A3" s="21" t="str">
        <x:v>Order entry speed</x:v>
      </x:c>
      <x:c r="B3" s="21" t="str"/>
      <x:c r="C3" s="21" t="str"/>
    </x:row>
    <x:row r="4">
      <x:c r="A4" s="21" t="str">
        <x:v>Out-of-stock order handling</x:v>
      </x:c>
      <x:c r="B4" s="21" t="str"/>
      <x:c r="C4" s="21" t="str"/>
    </x:row>
    <x:row r="5">
      <x:c r="A5" s="21" t="str">
        <x:v>Weight entry ease</x:v>
      </x:c>
      <x:c r="B5" s="21" t="str"/>
      <x:c r="C5" s="21" t="str"/>
    </x:row>
    <x:row r="6">
      <x:c r="A6" s="21" t="str">
        <x:v>Invoice workflow</x:v>
      </x:c>
      <x:c r="B6" s="21" t="str"/>
      <x:c r="C6" s="21" t="str"/>
    </x:row>
    <x:row r="7">
      <x:c r="A7" s="21" t="str">
        <x:v>Inventory workflow</x:v>
      </x:c>
      <x:c r="B7" s="21" t="str"/>
      <x:c r="C7" s="21" t="str"/>
    </x:row>
    <x:row r="8">
      <x:c r="A8" s="21" t="str">
        <x:v>Route-building workflow</x:v>
      </x:c>
      <x:c r="B8" s="21" t="str"/>
      <x:c r="C8" s="21" t="str"/>
    </x:row>
    <x:row r="9">
      <x:c r="A9" s="21" t="str">
        <x:v>Customer management workflow</x:v>
      </x:c>
      <x:c r="B9" s="21" t="str"/>
      <x:c r="C9" s="21" t="str"/>
    </x:row>
    <x:row r="10">
      <x:c r="A10" s="21" t="str">
        <x:v>Overall confidence using the app</x:v>
      </x:c>
      <x:c r="B10" s="21" t="str"/>
      <x:c r="C10" s="21" t="str"/>
    </x:row>
    <x:row r="11">
      <x:c r="A11" s="21"/>
      <x:c r="B11" s="21"/>
      <x:c r="C11" s="21"/>
    </x:row>
    <x:row r="12">
      <x:c r="A12" s="22" t="str">
        <x:v>How to score</x:v>
      </x:c>
      <x:c r="B12" s="22" t="str"/>
      <x:c r="C12" s="21"/>
    </x:row>
    <x:row r="13">
      <x:c r="A13" s="21" t="str">
        <x:v>5</x:v>
      </x:c>
      <x:c r="B13" s="21" t="str">
        <x:v>Excellent - fast, clear, and safe to use</x:v>
      </x:c>
      <x:c r="C13" s="21"/>
    </x:row>
    <x:row r="14">
      <x:c r="A14" s="21" t="str">
        <x:v>3</x:v>
      </x:c>
      <x:c r="B14" s="21" t="str">
        <x:v>Usable but awkward or slower than it should be</x:v>
      </x:c>
      <x:c r="C14" s="21"/>
    </x:row>
    <x:row r="15">
      <x:c r="A15" s="21" t="str">
        <x:v>1</x:v>
      </x:c>
      <x:c r="B15" s="21" t="str">
        <x:v>Confusing, risky, or frustrating</x:v>
      </x:c>
      <x:c r="C15" s="21"/>
    </x:row>
  </x:sheetData>
  <x:pageMargins left="0.7" right="0.7" top="0.75" bottom="0.75" header="0.3" footer="0.3"/>
</x:worksheet>
</file>